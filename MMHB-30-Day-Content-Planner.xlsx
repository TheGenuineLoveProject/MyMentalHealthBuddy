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19e8992dfc4f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ent calendar" sheetId="1" r:id="R64f85892aa6549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/dd/yy"/>
    <x:numFmt numFmtId="201" formatCode="0"/>
  </x:numFmts>
  <x:fonts count="4">
    <x:font>
      <x:sz val="11"/>
      <x:name val="Carlito"/>
    </x:font>
    <x:font>
      <x:sz val="11"/>
      <x:color rgb="FF203F3F"/>
      <x:name val="Arial"/>
    </x:font>
    <x:font>
      <x:b/>
      <x:sz val="16"/>
      <x:color rgb="FF203F3F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F5D5D"/>
      </x:patternFill>
    </x:fill>
    <x:fill>
      <x:patternFill patternType="solid">
        <x:fgColor rgb="FFFFF3D9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63c5a614f74295" /><Relationship Type="http://schemas.openxmlformats.org/officeDocument/2006/relationships/theme" Target="/xl/theme/theme1.xml" Id="Rdb62dd0ecc034c66" /><Relationship Type="http://schemas.openxmlformats.org/officeDocument/2006/relationships/sharedStrings" Target="/xl/sharedStrings.xml" Id="Ra111e9e967db4485" /><Relationship Type="http://schemas.openxmlformats.org/officeDocument/2006/relationships/worksheet" Target="/xl/worksheets/sheet1.xml" Id="R64f85892aa65495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F5D5D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1.109999656677246" hidden="0" customWidth="1"/>
    <x:col min="2" max="2" width="43.11000061035156" hidden="0" customWidth="1"/>
    <x:col min="3" max="3" width="16.670000076293945" hidden="0" customWidth="1"/>
    <x:col min="4" max="4" width="13.890000343322754" hidden="0" customWidth="1"/>
    <x:col min="5" max="5" width="11.329999923706055" hidden="0" customWidth="1"/>
    <x:col min="6" max="6" width="9.4399995803833" hidden="0" customWidth="1"/>
    <x:col min="7" max="7" width="10.5600004196167" hidden="0" customWidth="1"/>
    <x:col min="8" max="8" width="10.560000419616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MyMentalHealthBuddy | 30-day content planner</x:v>
      </x:c>
      <x:c r="B2" s="1"/>
      <x:c r="C2" s="1"/>
      <x:c r="D2" s="1"/>
      <x:c r="E2" s="1"/>
      <x:c r="F2" s="1"/>
      <x:c r="G2" s="1"/>
      <x:c r="H2" s="1"/>
    </x:row>
    <x:row r="3">
      <x:c r="A3" s="1" t="str">
        <x:v>Sep 24-Oct 23, 2026. Planning status only; this workbook does not schedule or publish posts.</x:v>
      </x:c>
      <x:c r="B3" s="1"/>
      <x:c r="C3" s="1"/>
      <x:c r="D3" s="1"/>
      <x:c r="E3" s="1"/>
      <x:c r="F3" s="1"/>
      <x:c r="G3" s="1"/>
      <x:c r="H3" s="1"/>
    </x:row>
    <x:row r="4">
      <x:c r="A4" s="3" t="str">
        <x:v>Drafts</x:v>
      </x:c>
      <x:c r="B4" s="3" t="n">
        <x:f>COUNTIFS(D8:D37,"DRAFT")</x:f>
        <x:v>5</x:v>
      </x:c>
      <x:c r="C4" s="3" t="str">
        <x:v>Published</x:v>
      </x:c>
      <x:c r="D4" s="3" t="n">
        <x:f>COUNTIFS(D8:D37,"PUBLISHED")</x:f>
        <x:v>0</x:v>
      </x:c>
      <x:c r="E4" s="3" t="str">
        <x:v>Minutes</x:v>
      </x:c>
      <x:c r="F4" s="3" t="n">
        <x:f>SUM(H8:H37)</x:f>
        <x:v>900</x:v>
      </x:c>
      <x:c r="G4" s="3"/>
      <x:c r="H4" s="3"/>
    </x:row>
    <x:row r="5">
      <x:c r="A5" s="1"/>
      <x:c r="B5" s="1"/>
      <x:c r="C5" s="1"/>
      <x:c r="D5" s="1"/>
      <x:c r="E5" s="1"/>
      <x:c r="F5" s="1"/>
      <x:c r="G5" s="1"/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6" t="str">
        <x:v>Date</x:v>
      </x:c>
      <x:c r="B7" s="6" t="str">
        <x:v>Topic</x:v>
      </x:c>
      <x:c r="C7" s="6" t="str">
        <x:v>Format</x:v>
      </x:c>
      <x:c r="D7" s="6" t="str">
        <x:v>Status</x:v>
      </x:c>
      <x:c r="E7" s="6" t="str">
        <x:v>Research min</x:v>
      </x:c>
      <x:c r="F7" s="6" t="str">
        <x:v>Draft min</x:v>
      </x:c>
      <x:c r="G7" s="6" t="str">
        <x:v>Review min</x:v>
      </x:c>
      <x:c r="H7" s="6" t="str">
        <x:v>Total min</x:v>
      </x:c>
    </x:row>
    <x:row r="8" ht="42" customHeight="1">
      <x:c r="A8" s="9" t="n">
        <x:v>46289.5</x:v>
      </x:c>
      <x:c r="B8" s="12" t="str">
        <x:v>A thought, a feeling, and a fact</x:v>
      </x:c>
      <x:c r="C8" s="12" t="str">
        <x:v>Short video</x:v>
      </x:c>
      <x:c r="D8" s="13" t="str">
        <x:v>DRAFT</x:v>
      </x:c>
      <x:c r="E8" s="14" t="n">
        <x:v>10</x:v>
      </x:c>
      <x:c r="F8" s="14" t="n">
        <x:v>10</x:v>
      </x:c>
      <x:c r="G8" s="14" t="n">
        <x:v>10</x:v>
      </x:c>
      <x:c r="H8" s="11" t="n">
        <x:f>SUM(E8:G8)</x:f>
        <x:v>30</x:v>
      </x:c>
    </x:row>
    <x:row r="9" ht="42" customHeight="1">
      <x:c r="A9" s="9" t="n">
        <x:v>46290.5</x:v>
      </x:c>
      <x:c r="B9" s="12" t="str">
        <x:v>A fair response to a mistake</x:v>
      </x:c>
      <x:c r="C9" s="12" t="str">
        <x:v>Carousel</x:v>
      </x:c>
      <x:c r="D9" s="13" t="str">
        <x:v>DRAFT</x:v>
      </x:c>
      <x:c r="E9" s="14" t="n">
        <x:v>10</x:v>
      </x:c>
      <x:c r="F9" s="14" t="n">
        <x:v>10</x:v>
      </x:c>
      <x:c r="G9" s="14" t="n">
        <x:v>10</x:v>
      </x:c>
      <x:c r="H9" s="11" t="n">
        <x:f>SUM(E9:G9)</x:f>
        <x:v>30</x:v>
      </x:c>
    </x:row>
    <x:row r="10" ht="42" customHeight="1">
      <x:c r="A10" s="9" t="n">
        <x:v>46291.5</x:v>
      </x:c>
      <x:c r="B10" s="12" t="str">
        <x:v>A value and one action</x:v>
      </x:c>
      <x:c r="C10" s="12" t="str">
        <x:v>Short video</x:v>
      </x:c>
      <x:c r="D10" s="13" t="str">
        <x:v>DRAFT</x:v>
      </x:c>
      <x:c r="E10" s="14" t="n">
        <x:v>10</x:v>
      </x:c>
      <x:c r="F10" s="14" t="n">
        <x:v>10</x:v>
      </x:c>
      <x:c r="G10" s="14" t="n">
        <x:v>10</x:v>
      </x:c>
      <x:c r="H10" s="11" t="n">
        <x:f>SUM(E10:G10)</x:f>
        <x:v>30</x:v>
      </x:c>
    </x:row>
    <x:row r="11" ht="42" customHeight="1">
      <x:c r="A11" s="9" t="n">
        <x:v>46292.5</x:v>
      </x:c>
      <x:c r="B11" s="12" t="str">
        <x:v>Listening with room for choice</x:v>
      </x:c>
      <x:c r="C11" s="12" t="str">
        <x:v>Text post</x:v>
      </x:c>
      <x:c r="D11" s="13" t="str">
        <x:v>DRAFT</x:v>
      </x:c>
      <x:c r="E11" s="14" t="n">
        <x:v>10</x:v>
      </x:c>
      <x:c r="F11" s="14" t="n">
        <x:v>10</x:v>
      </x:c>
      <x:c r="G11" s="14" t="n">
        <x:v>10</x:v>
      </x:c>
      <x:c r="H11" s="11" t="n">
        <x:f>SUM(E11:G11)</x:f>
        <x:v>30</x:v>
      </x:c>
    </x:row>
    <x:row r="12" ht="42" customHeight="1">
      <x:c r="A12" s="9" t="n">
        <x:v>46293.5</x:v>
      </x:c>
      <x:c r="B12" s="12" t="str">
        <x:v>Noticing the room you are in</x:v>
      </x:c>
      <x:c r="C12" s="12" t="str">
        <x:v>Short video</x:v>
      </x:c>
      <x:c r="D12" s="13" t="str">
        <x:v>DRAFT</x:v>
      </x:c>
      <x:c r="E12" s="14" t="n">
        <x:v>10</x:v>
      </x:c>
      <x:c r="F12" s="14" t="n">
        <x:v>10</x:v>
      </x:c>
      <x:c r="G12" s="14" t="n">
        <x:v>10</x:v>
      </x:c>
      <x:c r="H12" s="11" t="n">
        <x:f>SUM(E12:G12)</x:f>
        <x:v>30</x:v>
      </x:c>
    </x:row>
    <x:row r="13" ht="42" customHeight="1">
      <x:c r="A13" s="9" t="n">
        <x:v>46294.5</x:v>
      </x:c>
      <x:c r="B13" s="12" t="str">
        <x:v>Your reasons for a small change</x:v>
      </x:c>
      <x:c r="C13" s="12" t="str">
        <x:v>Carousel</x:v>
      </x:c>
      <x:c r="D13" s="13" t="str">
        <x:v>PLANNED</x:v>
      </x:c>
      <x:c r="E13" s="14" t="n">
        <x:v>10</x:v>
      </x:c>
      <x:c r="F13" s="14" t="n">
        <x:v>10</x:v>
      </x:c>
      <x:c r="G13" s="14" t="n">
        <x:v>10</x:v>
      </x:c>
      <x:c r="H13" s="11" t="n">
        <x:f>SUM(E13:G13)</x:f>
        <x:v>30</x:v>
      </x:c>
    </x:row>
    <x:row r="14" ht="42" customHeight="1">
      <x:c r="A14" s="9" t="n">
        <x:v>46295.5</x:v>
      </x:c>
      <x:c r="B14" s="12" t="str">
        <x:v>A gentle review of the week</x:v>
      </x:c>
      <x:c r="C14" s="12" t="str">
        <x:v>Teaching recap</x:v>
      </x:c>
      <x:c r="D14" s="13" t="str">
        <x:v>PLANNED</x:v>
      </x:c>
      <x:c r="E14" s="14" t="n">
        <x:v>10</x:v>
      </x:c>
      <x:c r="F14" s="14" t="n">
        <x:v>10</x:v>
      </x:c>
      <x:c r="G14" s="14" t="n">
        <x:v>10</x:v>
      </x:c>
      <x:c r="H14" s="11" t="n">
        <x:f>SUM(E14:G14)</x:f>
        <x:v>30</x:v>
      </x:c>
    </x:row>
    <x:row r="15" ht="42" customHeight="1">
      <x:c r="A15" s="9" t="n">
        <x:v>46296.5</x:v>
      </x:c>
      <x:c r="B15" s="12" t="str">
        <x:v>One visible reminder</x:v>
      </x:c>
      <x:c r="C15" s="12" t="str">
        <x:v>Short video</x:v>
      </x:c>
      <x:c r="D15" s="13" t="str">
        <x:v>PLANNED</x:v>
      </x:c>
      <x:c r="E15" s="14" t="n">
        <x:v>10</x:v>
      </x:c>
      <x:c r="F15" s="14" t="n">
        <x:v>10</x:v>
      </x:c>
      <x:c r="G15" s="14" t="n">
        <x:v>10</x:v>
      </x:c>
      <x:c r="H15" s="11" t="n">
        <x:f>SUM(E15:G15)</x:f>
        <x:v>30</x:v>
      </x:c>
    </x:row>
    <x:row r="16" ht="42" customHeight="1">
      <x:c r="A16" s="9" t="n">
        <x:v>46297.5</x:v>
      </x:c>
      <x:c r="B16" s="12" t="str">
        <x:v>A respectful boundary sentence</x:v>
      </x:c>
      <x:c r="C16" s="12" t="str">
        <x:v>Carousel</x:v>
      </x:c>
      <x:c r="D16" s="13" t="str">
        <x:v>PLANNED</x:v>
      </x:c>
      <x:c r="E16" s="14" t="n">
        <x:v>10</x:v>
      </x:c>
      <x:c r="F16" s="14" t="n">
        <x:v>10</x:v>
      </x:c>
      <x:c r="G16" s="14" t="n">
        <x:v>10</x:v>
      </x:c>
      <x:c r="H16" s="11" t="n">
        <x:f>SUM(E16:G16)</x:f>
        <x:v>30</x:v>
      </x:c>
    </x:row>
    <x:row r="17" ht="42" customHeight="1">
      <x:c r="A17" s="9" t="n">
        <x:v>46298.5</x:v>
      </x:c>
      <x:c r="B17" s="12" t="str">
        <x:v>What uncertainty sounds like</x:v>
      </x:c>
      <x:c r="C17" s="12" t="str">
        <x:v>Short video</x:v>
      </x:c>
      <x:c r="D17" s="13" t="str">
        <x:v>PLANNED</x:v>
      </x:c>
      <x:c r="E17" s="14" t="n">
        <x:v>10</x:v>
      </x:c>
      <x:c r="F17" s="14" t="n">
        <x:v>10</x:v>
      </x:c>
      <x:c r="G17" s="14" t="n">
        <x:v>10</x:v>
      </x:c>
      <x:c r="H17" s="11" t="n">
        <x:f>SUM(E17:G17)</x:f>
        <x:v>30</x:v>
      </x:c>
    </x:row>
    <x:row r="18" ht="42" customHeight="1">
      <x:c r="A18" s="9" t="n">
        <x:v>46299.5</x:v>
      </x:c>
      <x:c r="B18" s="12" t="str">
        <x:v>A one-sentence journal entry</x:v>
      </x:c>
      <x:c r="C18" s="12" t="str">
        <x:v>Text post</x:v>
      </x:c>
      <x:c r="D18" s="13" t="str">
        <x:v>PLANNED</x:v>
      </x:c>
      <x:c r="E18" s="14" t="n">
        <x:v>10</x:v>
      </x:c>
      <x:c r="F18" s="14" t="n">
        <x:v>10</x:v>
      </x:c>
      <x:c r="G18" s="14" t="n">
        <x:v>10</x:v>
      </x:c>
      <x:c r="H18" s="11" t="n">
        <x:f>SUM(E18:G18)</x:f>
        <x:v>30</x:v>
      </x:c>
    </x:row>
    <x:row r="19" ht="42" customHeight="1">
      <x:c r="A19" s="9" t="n">
        <x:v>46300.5</x:v>
      </x:c>
      <x:c r="B19" s="12" t="str">
        <x:v>Care without solving everything</x:v>
      </x:c>
      <x:c r="C19" s="12" t="str">
        <x:v>Short video</x:v>
      </x:c>
      <x:c r="D19" s="13" t="str">
        <x:v>PLANNED</x:v>
      </x:c>
      <x:c r="E19" s="14" t="n">
        <x:v>10</x:v>
      </x:c>
      <x:c r="F19" s="14" t="n">
        <x:v>10</x:v>
      </x:c>
      <x:c r="G19" s="14" t="n">
        <x:v>10</x:v>
      </x:c>
      <x:c r="H19" s="11" t="n">
        <x:f>SUM(E19:G19)</x:f>
        <x:v>30</x:v>
      </x:c>
    </x:row>
    <x:row r="20" ht="42" customHeight="1">
      <x:c r="A20" s="9" t="n">
        <x:v>46301.5</x:v>
      </x:c>
      <x:c r="B20" s="12" t="str">
        <x:v>Asking for the kind of support you need</x:v>
      </x:c>
      <x:c r="C20" s="12" t="str">
        <x:v>Carousel</x:v>
      </x:c>
      <x:c r="D20" s="13" t="str">
        <x:v>PLANNED</x:v>
      </x:c>
      <x:c r="E20" s="14" t="n">
        <x:v>10</x:v>
      </x:c>
      <x:c r="F20" s="14" t="n">
        <x:v>10</x:v>
      </x:c>
      <x:c r="G20" s="14" t="n">
        <x:v>10</x:v>
      </x:c>
      <x:c r="H20" s="11" t="n">
        <x:f>SUM(E20:G20)</x:f>
        <x:v>30</x:v>
      </x:c>
    </x:row>
    <x:row r="21" ht="42" customHeight="1">
      <x:c r="A21" s="9" t="n">
        <x:v>46302.5</x:v>
      </x:c>
      <x:c r="B21" s="12" t="str">
        <x:v>Teach-back: facts and interpretations</x:v>
      </x:c>
      <x:c r="C21" s="12" t="str">
        <x:v>Teaching recap</x:v>
      </x:c>
      <x:c r="D21" s="13" t="str">
        <x:v>PLANNED</x:v>
      </x:c>
      <x:c r="E21" s="14" t="n">
        <x:v>10</x:v>
      </x:c>
      <x:c r="F21" s="14" t="n">
        <x:v>10</x:v>
      </x:c>
      <x:c r="G21" s="14" t="n">
        <x:v>10</x:v>
      </x:c>
      <x:c r="H21" s="11" t="n">
        <x:f>SUM(E21:G21)</x:f>
        <x:v>30</x:v>
      </x:c>
    </x:row>
    <x:row r="22" ht="42" customHeight="1">
      <x:c r="A22" s="9" t="n">
        <x:v>46303.5</x:v>
      </x:c>
      <x:c r="B22" s="12" t="str">
        <x:v>What rest can look like today</x:v>
      </x:c>
      <x:c r="C22" s="12" t="str">
        <x:v>Short video</x:v>
      </x:c>
      <x:c r="D22" s="13" t="str">
        <x:v>PLANNED</x:v>
      </x:c>
      <x:c r="E22" s="14" t="n">
        <x:v>10</x:v>
      </x:c>
      <x:c r="F22" s="14" t="n">
        <x:v>10</x:v>
      </x:c>
      <x:c r="G22" s="14" t="n">
        <x:v>10</x:v>
      </x:c>
      <x:c r="H22" s="11" t="n">
        <x:f>SUM(E22:G22)</x:f>
        <x:v>30</x:v>
      </x:c>
    </x:row>
    <x:row r="23" ht="42" customHeight="1">
      <x:c r="A23" s="9" t="n">
        <x:v>46304.5</x:v>
      </x:c>
      <x:c r="B23" s="12" t="str">
        <x:v>A manageable social connection</x:v>
      </x:c>
      <x:c r="C23" s="12" t="str">
        <x:v>Carousel</x:v>
      </x:c>
      <x:c r="D23" s="13" t="str">
        <x:v>PLANNED</x:v>
      </x:c>
      <x:c r="E23" s="14" t="n">
        <x:v>10</x:v>
      </x:c>
      <x:c r="F23" s="14" t="n">
        <x:v>10</x:v>
      </x:c>
      <x:c r="G23" s="14" t="n">
        <x:v>10</x:v>
      </x:c>
      <x:c r="H23" s="11" t="n">
        <x:f>SUM(E23:G23)</x:f>
        <x:v>30</x:v>
      </x:c>
    </x:row>
    <x:row r="24" ht="42" customHeight="1">
      <x:c r="A24" s="9" t="n">
        <x:v>46305.5</x:v>
      </x:c>
      <x:c r="B24" s="12" t="str">
        <x:v>Naming an ordinary feeling</x:v>
      </x:c>
      <x:c r="C24" s="12" t="str">
        <x:v>Short video</x:v>
      </x:c>
      <x:c r="D24" s="13" t="str">
        <x:v>PLANNED</x:v>
      </x:c>
      <x:c r="E24" s="14" t="n">
        <x:v>10</x:v>
      </x:c>
      <x:c r="F24" s="14" t="n">
        <x:v>10</x:v>
      </x:c>
      <x:c r="G24" s="14" t="n">
        <x:v>10</x:v>
      </x:c>
      <x:c r="H24" s="11" t="n">
        <x:f>SUM(E24:G24)</x:f>
        <x:v>30</x:v>
      </x:c>
    </x:row>
    <x:row r="25" ht="42" customHeight="1">
      <x:c r="A25" s="9" t="n">
        <x:v>46306.5</x:v>
      </x:c>
      <x:c r="B25" s="12" t="str">
        <x:v>Goals within available energy</x:v>
      </x:c>
      <x:c r="C25" s="12" t="str">
        <x:v>Text post</x:v>
      </x:c>
      <x:c r="D25" s="13" t="str">
        <x:v>PLANNED</x:v>
      </x:c>
      <x:c r="E25" s="14" t="n">
        <x:v>10</x:v>
      </x:c>
      <x:c r="F25" s="14" t="n">
        <x:v>10</x:v>
      </x:c>
      <x:c r="G25" s="14" t="n">
        <x:v>10</x:v>
      </x:c>
      <x:c r="H25" s="11" t="n">
        <x:f>SUM(E25:G25)</x:f>
        <x:v>30</x:v>
      </x:c>
    </x:row>
    <x:row r="26" ht="42" customHeight="1">
      <x:c r="A26" s="9" t="n">
        <x:v>46307.5</x:v>
      </x:c>
      <x:c r="B26" s="12" t="str">
        <x:v>A spiritual practice you may choose</x:v>
      </x:c>
      <x:c r="C26" s="12" t="str">
        <x:v>Short video</x:v>
      </x:c>
      <x:c r="D26" s="13" t="str">
        <x:v>PLANNED</x:v>
      </x:c>
      <x:c r="E26" s="14" t="n">
        <x:v>10</x:v>
      </x:c>
      <x:c r="F26" s="14" t="n">
        <x:v>10</x:v>
      </x:c>
      <x:c r="G26" s="14" t="n">
        <x:v>10</x:v>
      </x:c>
      <x:c r="H26" s="11" t="n">
        <x:f>SUM(E26:G26)</x:f>
        <x:v>30</x:v>
      </x:c>
    </x:row>
    <x:row r="27" ht="42" customHeight="1">
      <x:c r="A27" s="9" t="n">
        <x:v>46308.5</x:v>
      </x:c>
      <x:c r="B27" s="12" t="str">
        <x:v>A philosophical question about meaning</x:v>
      </x:c>
      <x:c r="C27" s="12" t="str">
        <x:v>Carousel</x:v>
      </x:c>
      <x:c r="D27" s="13" t="str">
        <x:v>PLANNED</x:v>
      </x:c>
      <x:c r="E27" s="14" t="n">
        <x:v>10</x:v>
      </x:c>
      <x:c r="F27" s="14" t="n">
        <x:v>10</x:v>
      </x:c>
      <x:c r="G27" s="14" t="n">
        <x:v>10</x:v>
      </x:c>
      <x:c r="H27" s="11" t="n">
        <x:f>SUM(E27:G27)</x:f>
        <x:v>30</x:v>
      </x:c>
    </x:row>
    <x:row r="28" ht="42" customHeight="1">
      <x:c r="A28" s="9" t="n">
        <x:v>46309.5</x:v>
      </x:c>
      <x:c r="B28" s="12" t="str">
        <x:v>What a metaphor can and cannot explain</x:v>
      </x:c>
      <x:c r="C28" s="12" t="str">
        <x:v>Teaching recap</x:v>
      </x:c>
      <x:c r="D28" s="13" t="str">
        <x:v>PLANNED</x:v>
      </x:c>
      <x:c r="E28" s="14" t="n">
        <x:v>10</x:v>
      </x:c>
      <x:c r="F28" s="14" t="n">
        <x:v>10</x:v>
      </x:c>
      <x:c r="G28" s="14" t="n">
        <x:v>10</x:v>
      </x:c>
      <x:c r="H28" s="11" t="n">
        <x:f>SUM(E28:G28)</x:f>
        <x:v>30</x:v>
      </x:c>
    </x:row>
    <x:row r="29" ht="42" customHeight="1">
      <x:c r="A29" s="9" t="n">
        <x:v>46310.5</x:v>
      </x:c>
      <x:c r="B29" s="12" t="str">
        <x:v>Checking a health claim</x:v>
      </x:c>
      <x:c r="C29" s="12" t="str">
        <x:v>Short video</x:v>
      </x:c>
      <x:c r="D29" s="13" t="str">
        <x:v>PLANNED</x:v>
      </x:c>
      <x:c r="E29" s="14" t="n">
        <x:v>10</x:v>
      </x:c>
      <x:c r="F29" s="14" t="n">
        <x:v>10</x:v>
      </x:c>
      <x:c r="G29" s="14" t="n">
        <x:v>10</x:v>
      </x:c>
      <x:c r="H29" s="11" t="n">
        <x:f>SUM(E29:G29)</x:f>
        <x:v>30</x:v>
      </x:c>
    </x:row>
    <x:row r="30" ht="42" customHeight="1">
      <x:c r="A30" s="9" t="n">
        <x:v>46311.5</x:v>
      </x:c>
      <x:c r="B30" s="12" t="str">
        <x:v>Learning what therapy involves</x:v>
      </x:c>
      <x:c r="C30" s="12" t="str">
        <x:v>Carousel</x:v>
      </x:c>
      <x:c r="D30" s="13" t="str">
        <x:v>PLANNED</x:v>
      </x:c>
      <x:c r="E30" s="14" t="n">
        <x:v>10</x:v>
      </x:c>
      <x:c r="F30" s="14" t="n">
        <x:v>10</x:v>
      </x:c>
      <x:c r="G30" s="14" t="n">
        <x:v>10</x:v>
      </x:c>
      <x:c r="H30" s="11" t="n">
        <x:f>SUM(E30:G30)</x:f>
        <x:v>30</x:v>
      </x:c>
    </x:row>
    <x:row r="31" ht="42" customHeight="1">
      <x:c r="A31" s="9" t="n">
        <x:v>46312.5</x:v>
      </x:c>
      <x:c r="B31" s="12" t="str">
        <x:v>Questions to bring to a clinician</x:v>
      </x:c>
      <x:c r="C31" s="12" t="str">
        <x:v>Short video</x:v>
      </x:c>
      <x:c r="D31" s="13" t="str">
        <x:v>PLANNED</x:v>
      </x:c>
      <x:c r="E31" s="14" t="n">
        <x:v>10</x:v>
      </x:c>
      <x:c r="F31" s="14" t="n">
        <x:v>10</x:v>
      </x:c>
      <x:c r="G31" s="14" t="n">
        <x:v>10</x:v>
      </x:c>
      <x:c r="H31" s="11" t="n">
        <x:f>SUM(E31:G31)</x:f>
        <x:v>30</x:v>
      </x:c>
    </x:row>
    <x:row r="32" ht="42" customHeight="1">
      <x:c r="A32" s="9" t="n">
        <x:v>46313.5</x:v>
      </x:c>
      <x:c r="B32" s="12" t="str">
        <x:v>Recognizing when a resource is not enough</x:v>
      </x:c>
      <x:c r="C32" s="12" t="str">
        <x:v>Text post</x:v>
      </x:c>
      <x:c r="D32" s="13" t="str">
        <x:v>PLANNED</x:v>
      </x:c>
      <x:c r="E32" s="14" t="n">
        <x:v>10</x:v>
      </x:c>
      <x:c r="F32" s="14" t="n">
        <x:v>10</x:v>
      </x:c>
      <x:c r="G32" s="14" t="n">
        <x:v>10</x:v>
      </x:c>
      <x:c r="H32" s="11" t="n">
        <x:f>SUM(E32:G32)</x:f>
        <x:v>30</x:v>
      </x:c>
    </x:row>
    <x:row r="33" ht="42" customHeight="1">
      <x:c r="A33" s="9" t="n">
        <x:v>46314.5</x:v>
      </x:c>
      <x:c r="B33" s="12" t="str">
        <x:v>A private reflection on a difficult quality</x:v>
      </x:c>
      <x:c r="C33" s="12" t="str">
        <x:v>Short video</x:v>
      </x:c>
      <x:c r="D33" s="13" t="str">
        <x:v>PLANNED</x:v>
      </x:c>
      <x:c r="E33" s="14" t="n">
        <x:v>10</x:v>
      </x:c>
      <x:c r="F33" s="14" t="n">
        <x:v>10</x:v>
      </x:c>
      <x:c r="G33" s="14" t="n">
        <x:v>10</x:v>
      </x:c>
      <x:c r="H33" s="11" t="n">
        <x:f>SUM(E33:G33)</x:f>
        <x:v>30</x:v>
      </x:c>
    </x:row>
    <x:row r="34" ht="42" customHeight="1">
      <x:c r="A34" s="9" t="n">
        <x:v>46315.5</x:v>
      </x:c>
      <x:c r="B34" s="12" t="str">
        <x:v>A value in an everyday disagreement</x:v>
      </x:c>
      <x:c r="C34" s="12" t="str">
        <x:v>Carousel</x:v>
      </x:c>
      <x:c r="D34" s="13" t="str">
        <x:v>PLANNED</x:v>
      </x:c>
      <x:c r="E34" s="14" t="n">
        <x:v>10</x:v>
      </x:c>
      <x:c r="F34" s="14" t="n">
        <x:v>10</x:v>
      </x:c>
      <x:c r="G34" s="14" t="n">
        <x:v>10</x:v>
      </x:c>
      <x:c r="H34" s="11" t="n">
        <x:f>SUM(E34:G34)</x:f>
        <x:v>30</x:v>
      </x:c>
    </x:row>
    <x:row r="35" ht="42" customHeight="1">
      <x:c r="A35" s="9" t="n">
        <x:v>46316.5</x:v>
      </x:c>
      <x:c r="B35" s="12" t="str">
        <x:v>Repair after a small mistake</x:v>
      </x:c>
      <x:c r="C35" s="12" t="str">
        <x:v>Teaching recap</x:v>
      </x:c>
      <x:c r="D35" s="13" t="str">
        <x:v>PLANNED</x:v>
      </x:c>
      <x:c r="E35" s="14" t="n">
        <x:v>10</x:v>
      </x:c>
      <x:c r="F35" s="14" t="n">
        <x:v>10</x:v>
      </x:c>
      <x:c r="G35" s="14" t="n">
        <x:v>10</x:v>
      </x:c>
      <x:c r="H35" s="11" t="n">
        <x:f>SUM(E35:G35)</x:f>
        <x:v>30</x:v>
      </x:c>
    </x:row>
    <x:row r="36" ht="42" customHeight="1">
      <x:c r="A36" s="9" t="n">
        <x:v>46317.5</x:v>
      </x:c>
      <x:c r="B36" s="12" t="str">
        <x:v>Reviewing real content metrics</x:v>
      </x:c>
      <x:c r="C36" s="12" t="str">
        <x:v>Short video</x:v>
      </x:c>
      <x:c r="D36" s="13" t="str">
        <x:v>PLANNED</x:v>
      </x:c>
      <x:c r="E36" s="14" t="n">
        <x:v>10</x:v>
      </x:c>
      <x:c r="F36" s="14" t="n">
        <x:v>10</x:v>
      </x:c>
      <x:c r="G36" s="14" t="n">
        <x:v>10</x:v>
      </x:c>
      <x:c r="H36" s="11" t="n">
        <x:f>SUM(E36:G36)</x:f>
        <x:v>30</x:v>
      </x:c>
    </x:row>
    <x:row r="37" ht="42" customHeight="1">
      <x:c r="A37" s="9" t="n">
        <x:v>46318.5</x:v>
      </x:c>
      <x:c r="B37" s="12" t="str">
        <x:v>What to keep, change, or stop</x:v>
      </x:c>
      <x:c r="C37" s="12" t="str">
        <x:v>Carousel</x:v>
      </x:c>
      <x:c r="D37" s="13" t="str">
        <x:v>PLANNED</x:v>
      </x:c>
      <x:c r="E37" s="14" t="n">
        <x:v>10</x:v>
      </x:c>
      <x:c r="F37" s="14" t="n">
        <x:v>10</x:v>
      </x:c>
      <x:c r="G37" s="14" t="n">
        <x:v>10</x:v>
      </x:c>
      <x:c r="H37" s="11" t="n">
        <x:f>SUM(E37:G37)</x:f>
        <x:v>30</x:v>
      </x:c>
    </x:row>
    <x:row r="38">
      <x:c r="A38" s="1"/>
      <x:c r="B38" s="1"/>
      <x:c r="C38" s="1"/>
      <x:c r="D38" s="1"/>
      <x:c r="E38" s="1"/>
      <x:c r="F38" s="1"/>
      <x:c r="G38" s="1"/>
      <x:c r="H38" s="1"/>
    </x:row>
  </x:sheetData>
  <x:dataValidations count="2">
    <x:dataValidation type="list" sqref="D8:D37">
      <x:formula1>"PLANNED,DRAFT,IN_REVIEW,APPROVED,SCHEDULED,PUBLISHED,CANCELLED"</x:formula1>
    </x:dataValidation>
    <x:dataValidation type="whole" operator="between" sqref="E8:G37">
      <x:formula1>0</x:formula1>
      <x:formula2>240</x:formula2>
    </x:dataValidation>
  </x:dataValidations>
  <x:pageMargins left="0.7" right="0.7" top="0.75" bottom="0.75" header="0.3" footer="0.3"/>
</x:worksheet>
</file>